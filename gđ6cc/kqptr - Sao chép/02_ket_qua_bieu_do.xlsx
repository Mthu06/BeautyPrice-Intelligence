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eu_do_phan_tich" sheetId="1" state="visible" r:id="rId1"/>
    <sheet xmlns:r="http://schemas.openxmlformats.org/officeDocument/2006/relationships" name="Du_lieu_bieu_do" sheetId="2" state="visible" r:id="rId2"/>
    <sheet xmlns:r="http://schemas.openxmlformats.org/officeDocument/2006/relationships" name="Review_Charts" sheetId="3" state="visible" r:id="rId3"/>
    <sheet xmlns:r="http://schemas.openxmlformats.org/officeDocument/2006/relationships" name="Review_Data" sheetId="4" state="visible" r:id="rId4"/>
  </sheets>
  <definedNames>
    <definedName name="_xlnm.Print_Area" localSheetId="0">'Bieu_do_phan_tich'!$A$1:$R$59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17365D"/>
      <sz val="14"/>
    </font>
    <font>
      <name val="Arial"/>
      <b val="1"/>
      <color rgb="0017365D"/>
      <sz val="11"/>
    </font>
    <font>
      <name val="Arial"/>
      <b val="1"/>
      <color rgb="00FFFFFF"/>
      <sz val="10"/>
    </font>
  </fonts>
  <fills count="4">
    <fill>
      <patternFill/>
    </fill>
    <fill>
      <patternFill patternType="gray125"/>
    </fill>
    <fill>
      <patternFill patternType="solid">
        <fgColor rgb="00FFF2CC"/>
      </patternFill>
    </fill>
    <fill>
      <patternFill patternType="solid">
        <fgColor rgb="001F4E78"/>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0" fillId="2" borderId="0" pivotButton="0" quotePrefix="0" xfId="0"/>
    <xf numFmtId="0" fontId="0" fillId="2" borderId="0" applyAlignment="1" pivotButton="0" quotePrefix="0" xfId="0">
      <alignment vertical="center" wrapText="1"/>
    </xf>
    <xf numFmtId="0" fontId="2" fillId="0" borderId="0" pivotButton="0" quotePrefix="0" xfId="0"/>
    <xf numFmtId="0" fontId="0" fillId="0" borderId="0" applyAlignment="1" pivotButton="0" quotePrefix="0" xfId="0">
      <alignment vertical="top" wrapText="1"/>
    </xf>
    <xf numFmtId="0" fontId="3" fillId="3" borderId="0" applyAlignment="1" pivotButton="0" quotePrefix="0" xfId="0">
      <alignment horizontal="center" vertical="center" wrapText="1"/>
    </xf>
    <xf numFmtId="3" fontId="0" fillId="0" borderId="0" pivotButton="0" quotePrefix="0" xfId="0"/>
    <xf numFmtId="2" fontId="0" fillId="0" borderId="0" pivotButton="0" quotePrefix="0" xfId="0"/>
    <xf numFmtId="4"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Phân bố giá hiện tại</a:t>
            </a:r>
          </a:p>
        </rich>
      </tx>
    </title>
    <plotArea>
      <barChart>
        <barDir val="col"/>
        <grouping val="clustered"/>
        <ser>
          <idx val="0"/>
          <order val="0"/>
          <tx>
            <strRef>
              <f>'Du_lieu_bieu_do'!B3</f>
            </strRef>
          </tx>
          <spPr>
            <a:ln xmlns:a="http://schemas.openxmlformats.org/drawingml/2006/main">
              <a:prstDash val="solid"/>
            </a:ln>
          </spPr>
          <cat>
            <numRef>
              <f>'Du_lieu_bieu_do'!$A$4:$A$11</f>
            </numRef>
          </cat>
          <val>
            <numRef>
              <f>'Du_lieu_bieu_do'!$B$4:$B$11</f>
            </numRef>
          </val>
        </ser>
        <dLbls>
          <showVal val="1"/>
        </dLbls>
        <gapWidth val="150"/>
        <axId val="10"/>
        <axId val="100"/>
      </barChart>
      <catAx>
        <axId val="10"/>
        <scaling>
          <orientation val="minMax"/>
        </scaling>
        <axPos val="l"/>
        <title>
          <tx>
            <rich>
              <a:bodyPr xmlns:a="http://schemas.openxmlformats.org/drawingml/2006/main"/>
              <a:p xmlns:a="http://schemas.openxmlformats.org/drawingml/2006/main">
                <a:pPr>
                  <a:defRPr/>
                </a:pPr>
                <a:r>
                  <a:t>Khoảng giá (VND)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Số quan sát</a:t>
                </a:r>
              </a:p>
            </rich>
          </tx>
        </title>
        <majorTickMark val="none"/>
        <minorTickMark val="none"/>
        <crossAx val="10"/>
      </valAx>
    </plotArea>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Giá trung vị theo danh mục</a:t>
            </a:r>
          </a:p>
        </rich>
      </tx>
    </title>
    <plotArea>
      <barChart>
        <barDir val="bar"/>
        <grouping val="clustered"/>
        <ser>
          <idx val="0"/>
          <order val="0"/>
          <tx>
            <strRef>
              <f>'Du_lieu_bieu_do'!F3</f>
            </strRef>
          </tx>
          <spPr>
            <a:ln xmlns:a="http://schemas.openxmlformats.org/drawingml/2006/main">
              <a:prstDash val="solid"/>
            </a:ln>
          </spPr>
          <cat>
            <numRef>
              <f>'Du_lieu_bieu_do'!$E$4:$E$10</f>
            </numRef>
          </cat>
          <val>
            <numRef>
              <f>'Du_lieu_bieu_do'!$F$4:$F$10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Danh mục</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Giá trung vị (VND)</a:t>
                </a:r>
              </a:p>
            </rich>
          </tx>
        </title>
        <majorTickMark val="none"/>
        <minorTickMark val="none"/>
        <crossAx val="10"/>
      </valAx>
    </plotArea>
    <plotVisOnly val="1"/>
    <dispBlanksAs val="gap"/>
  </chart>
</chartSpace>
</file>

<file path=xl/charts/chart3.xml><?xml version="1.0" encoding="utf-8"?>
<chartSpace xmlns="http://schemas.openxmlformats.org/drawingml/2006/chart">
  <style val="10"/>
  <chart>
    <title>
      <tx>
        <rich>
          <a:bodyPr xmlns:a="http://schemas.openxmlformats.org/drawingml/2006/main"/>
          <a:p xmlns:a="http://schemas.openxmlformats.org/drawingml/2006/main">
            <a:pPr>
              <a:defRPr/>
            </a:pPr>
            <a:r>
              <a:t>Giá trung vị theo retailer (mô tả catalog)</a:t>
            </a:r>
          </a:p>
        </rich>
      </tx>
    </title>
    <plotArea>
      <barChart>
        <barDir val="col"/>
        <grouping val="clustered"/>
        <ser>
          <idx val="0"/>
          <order val="0"/>
          <tx>
            <strRef>
              <f>'Du_lieu_bieu_do'!J3</f>
            </strRef>
          </tx>
          <spPr>
            <a:ln xmlns:a="http://schemas.openxmlformats.org/drawingml/2006/main">
              <a:prstDash val="solid"/>
            </a:ln>
          </spPr>
          <cat>
            <numRef>
              <f>'Du_lieu_bieu_do'!$I$4:$I$8</f>
            </numRef>
          </cat>
          <val>
            <numRef>
              <f>'Du_lieu_bieu_do'!$J$4:$J$8</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Retailer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Giá trung vị (VND)</a:t>
                </a:r>
              </a:p>
            </rich>
          </tx>
        </title>
        <majorTickMark val="none"/>
        <minorTickMark val="none"/>
        <crossAx val="10"/>
      </valAx>
    </plotArea>
    <plotVisOnly val="1"/>
    <dispBlanksAs val="gap"/>
  </chart>
</chartSpace>
</file>

<file path=xl/charts/chart4.xml><?xml version="1.0" encoding="utf-8"?>
<chartSpace xmlns="http://schemas.openxmlformats.org/drawingml/2006/chart">
  <style val="10"/>
  <chart>
    <title>
      <tx>
        <rich>
          <a:bodyPr xmlns:a="http://schemas.openxmlformats.org/drawingml/2006/main"/>
          <a:p xmlns:a="http://schemas.openxmlformats.org/drawingml/2006/main">
            <a:pPr>
              <a:defRPr/>
            </a:pPr>
            <a:r>
              <a:t>Giá trung bình trong giai đoạn quan sát</a:t>
            </a:r>
          </a:p>
        </rich>
      </tx>
    </title>
    <plotArea>
      <lineChart>
        <grouping val="standard"/>
        <ser>
          <idx val="0"/>
          <order val="0"/>
          <tx>
            <v>Cocolux</v>
          </tx>
          <spPr>
            <a:ln xmlns:a="http://schemas.openxmlformats.org/drawingml/2006/main">
              <a:prstDash val="solid"/>
            </a:ln>
          </spPr>
          <marker>
            <symbol val="circle"/>
            <size val="5"/>
            <spPr>
              <a:ln xmlns:a="http://schemas.openxmlformats.org/drawingml/2006/main">
                <a:prstDash val="solid"/>
              </a:ln>
            </spPr>
          </marker>
          <cat>
            <numRef>
              <f>'Du_lieu_bieu_do'!$A$30:$A$33</f>
            </numRef>
          </cat>
          <val>
            <numRef>
              <f>'Du_lieu_bieu_do'!$B$30:$B$33</f>
            </numRef>
          </val>
        </ser>
        <ser>
          <idx val="1"/>
          <order val="1"/>
          <tx>
            <v>Guardian</v>
          </tx>
          <spPr>
            <a:ln xmlns:a="http://schemas.openxmlformats.org/drawingml/2006/main">
              <a:prstDash val="solid"/>
            </a:ln>
          </spPr>
          <marker>
            <symbol val="circle"/>
            <size val="5"/>
            <spPr>
              <a:ln xmlns:a="http://schemas.openxmlformats.org/drawingml/2006/main">
                <a:prstDash val="solid"/>
              </a:ln>
            </spPr>
          </marker>
          <cat>
            <numRef>
              <f>'Du_lieu_bieu_do'!$A$30:$A$33</f>
            </numRef>
          </cat>
          <val>
            <numRef>
              <f>'Du_lieu_bieu_do'!$C$30:$C$33</f>
            </numRef>
          </val>
        </ser>
        <ser>
          <idx val="2"/>
          <order val="2"/>
          <tx>
            <v>Hasaki</v>
          </tx>
          <spPr>
            <a:ln xmlns:a="http://schemas.openxmlformats.org/drawingml/2006/main">
              <a:prstDash val="solid"/>
            </a:ln>
          </spPr>
          <marker>
            <symbol val="circle"/>
            <size val="5"/>
            <spPr>
              <a:ln xmlns:a="http://schemas.openxmlformats.org/drawingml/2006/main">
                <a:prstDash val="solid"/>
              </a:ln>
            </spPr>
          </marker>
          <cat>
            <numRef>
              <f>'Du_lieu_bieu_do'!$A$30:$A$33</f>
            </numRef>
          </cat>
          <val>
            <numRef>
              <f>'Du_lieu_bieu_do'!$D$30:$D$33</f>
            </numRef>
          </val>
        </ser>
        <ser>
          <idx val="3"/>
          <order val="3"/>
          <tx>
            <v>The Gioi Skin Food</v>
          </tx>
          <spPr>
            <a:ln xmlns:a="http://schemas.openxmlformats.org/drawingml/2006/main">
              <a:prstDash val="solid"/>
            </a:ln>
          </spPr>
          <marker>
            <symbol val="circle"/>
            <size val="5"/>
            <spPr>
              <a:ln xmlns:a="http://schemas.openxmlformats.org/drawingml/2006/main">
                <a:prstDash val="solid"/>
              </a:ln>
            </spPr>
          </marker>
          <cat>
            <numRef>
              <f>'Du_lieu_bieu_do'!$A$30:$A$33</f>
            </numRef>
          </cat>
          <val>
            <numRef>
              <f>'Du_lieu_bieu_do'!$E$30:$E$33</f>
            </numRef>
          </val>
        </ser>
        <ser>
          <idx val="4"/>
          <order val="4"/>
          <tx>
            <v>Watsons</v>
          </tx>
          <spPr>
            <a:ln xmlns:a="http://schemas.openxmlformats.org/drawingml/2006/main">
              <a:prstDash val="solid"/>
            </a:ln>
          </spPr>
          <marker>
            <symbol val="circle"/>
            <size val="5"/>
            <spPr>
              <a:ln xmlns:a="http://schemas.openxmlformats.org/drawingml/2006/main">
                <a:prstDash val="solid"/>
              </a:ln>
            </spPr>
          </marker>
          <cat>
            <numRef>
              <f>'Du_lieu_bieu_do'!$A$30:$A$33</f>
            </numRef>
          </cat>
          <val>
            <numRef>
              <f>'Du_lieu_bieu_do'!$F$30:$F$33</f>
            </numRef>
          </val>
        </ser>
        <marker val="1"/>
        <axId val="10"/>
        <axId val="100"/>
      </lineChart>
      <catAx>
        <axId val="10"/>
        <scaling>
          <orientation val="minMax"/>
        </scaling>
        <axPos val="l"/>
        <title>
          <tx>
            <rich>
              <a:bodyPr xmlns:a="http://schemas.openxmlformats.org/drawingml/2006/main"/>
              <a:p xmlns:a="http://schemas.openxmlformats.org/drawingml/2006/main">
                <a:pPr>
                  <a:defRPr/>
                </a:pPr>
                <a:r>
                  <a:t>Ngày quan sát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Giá trung bình (VND)</a:t>
                </a:r>
              </a:p>
            </rich>
          </tx>
        </title>
        <majorTickMark val="none"/>
        <minorTickMark val="none"/>
        <crossAx val="10"/>
      </valAx>
    </plotArea>
    <legend>
      <legendPos val="b"/>
    </legend>
    <plotVisOnly val="1"/>
    <dispBlanksAs val="gap"/>
  </chart>
</chartSpace>
</file>

<file path=xl/charts/chart5.xml><?xml version="1.0" encoding="utf-8"?>
<chartSpace xmlns="http://schemas.openxmlformats.org/drawingml/2006/chart">
  <style val="10"/>
  <chart>
    <title>
      <tx>
        <rich>
          <a:bodyPr xmlns:a="http://schemas.openxmlformats.org/drawingml/2006/main"/>
          <a:p xmlns:a="http://schemas.openxmlformats.org/drawingml/2006/main">
            <a:pPr>
              <a:defRPr/>
            </a:pPr>
            <a:r>
              <a:t>Số snapshot có giá hợp lệ và thiếu/sai theo retailer</a:t>
            </a:r>
          </a:p>
        </rich>
      </tx>
    </title>
    <plotArea>
      <barChart>
        <barDir val="bar"/>
        <grouping val="stacked"/>
        <ser>
          <idx val="0"/>
          <order val="0"/>
          <tx>
            <v>Giá hợp lệ</v>
          </tx>
          <spPr>
            <a:ln xmlns:a="http://schemas.openxmlformats.org/drawingml/2006/main">
              <a:prstDash val="solid"/>
            </a:ln>
          </spPr>
          <cat>
            <numRef>
              <f>'Du_lieu_bieu_do'!$A$41:$A$45</f>
            </numRef>
          </cat>
          <val>
            <numRef>
              <f>'Du_lieu_bieu_do'!$C$41:$C$45</f>
            </numRef>
          </val>
        </ser>
        <ser>
          <idx val="1"/>
          <order val="1"/>
          <tx>
            <v>Giá thiếu/sai</v>
          </tx>
          <spPr>
            <a:ln xmlns:a="http://schemas.openxmlformats.org/drawingml/2006/main">
              <a:prstDash val="solid"/>
            </a:ln>
          </spPr>
          <cat>
            <numRef>
              <f>'Du_lieu_bieu_do'!$A$41:$A$45</f>
            </numRef>
          </cat>
          <val>
            <numRef>
              <f>'Du_lieu_bieu_do'!$D$41:$D$45</f>
            </numRef>
          </val>
        </ser>
        <gapWidth val="150"/>
        <overlap val="100"/>
        <axId val="10"/>
        <axId val="100"/>
      </barChart>
      <catAx>
        <axId val="10"/>
        <scaling>
          <orientation val="minMax"/>
        </scaling>
        <axPos val="l"/>
        <title>
          <tx>
            <rich>
              <a:bodyPr xmlns:a="http://schemas.openxmlformats.org/drawingml/2006/main"/>
              <a:p xmlns:a="http://schemas.openxmlformats.org/drawingml/2006/main">
                <a:pPr>
                  <a:defRPr/>
                </a:pPr>
                <a:r>
                  <a:t>Retailer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Số snapshot</a:t>
                </a:r>
              </a:p>
            </rich>
          </tx>
        </title>
        <majorTickMark val="none"/>
        <minorTickMark val="none"/>
        <crossAx val="10"/>
      </valAx>
    </plotArea>
    <legend>
      <legendPos val="b"/>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Phân bố điểm đánh giá — Hasaki &amp; Guardian</a:t>
            </a:r>
          </a:p>
        </rich>
      </tx>
    </title>
    <plotArea>
      <barChart>
        <barDir val="col"/>
        <grouping val="clustered"/>
        <ser>
          <idx val="0"/>
          <order val="0"/>
          <tx>
            <strRef>
              <f>'Review_Data'!B1</f>
            </strRef>
          </tx>
          <spPr>
            <a:ln xmlns:a="http://schemas.openxmlformats.org/drawingml/2006/main">
              <a:prstDash val="solid"/>
            </a:ln>
          </spPr>
          <cat>
            <numRef>
              <f>'Review_Data'!$A$2:$A$7</f>
            </numRef>
          </cat>
          <val>
            <numRef>
              <f>'Review_Data'!$B$2:$B$7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Rating (stars)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Review count</a:t>
                </a:r>
              </a:p>
            </rich>
          </tx>
        </title>
        <majorTickMark val="none"/>
        <minorTickMark val="none"/>
        <crossAx val="10"/>
      </valAx>
    </plotArea>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Số review theo danh mục — Hasaki &amp; Guardian</a:t>
            </a:r>
          </a:p>
        </rich>
      </tx>
    </title>
    <plotArea>
      <barChart>
        <barDir val="col"/>
        <grouping val="clustered"/>
        <ser>
          <idx val="0"/>
          <order val="0"/>
          <tx>
            <strRef>
              <f>'Review_Data'!E1</f>
            </strRef>
          </tx>
          <spPr>
            <a:ln xmlns:a="http://schemas.openxmlformats.org/drawingml/2006/main">
              <a:prstDash val="solid"/>
            </a:ln>
          </spPr>
          <cat>
            <numRef>
              <f>'Review_Data'!$D$2:$D$15</f>
            </numRef>
          </cat>
          <val>
            <numRef>
              <f>'Review_Data'!$E$2:$E$15</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Category</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Review count</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_rels/drawing2.xml.rels><Relationships xmlns="http://schemas.openxmlformats.org/package/2006/relationships"><Relationship Type="http://schemas.openxmlformats.org/officeDocument/2006/relationships/chart" Target="/xl/charts/chart6.xml" Id="rId1"/><Relationship Type="http://schemas.openxmlformats.org/officeDocument/2006/relationships/chart" Target="/xl/charts/chart7.xml" Id="rId2"/></Relationships>
</file>

<file path=xl/drawings/drawing1.xml><?xml version="1.0" encoding="utf-8"?>
<wsDr xmlns="http://schemas.openxmlformats.org/drawingml/2006/spreadsheetDrawing">
  <oneCellAnchor>
    <from>
      <col>0</col>
      <colOff>0</colOff>
      <row>6</row>
      <rowOff>0</rowOff>
    </from>
    <ext cx="522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6</row>
      <rowOff>0</rowOff>
    </from>
    <ext cx="522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22</row>
      <rowOff>0</rowOff>
    </from>
    <ext cx="522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9</col>
      <colOff>0</colOff>
      <row>22</row>
      <rowOff>0</rowOff>
    </from>
    <ext cx="522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38</row>
      <rowOff>0</rowOff>
    </from>
    <ext cx="522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drawings/drawing2.xml><?xml version="1.0" encoding="utf-8"?>
<wsDr xmlns="http://schemas.openxmlformats.org/drawingml/2006/spreadsheetDrawing">
  <oneCellAnchor>
    <from>
      <col>0</col>
      <colOff>0</colOff>
      <row>3</row>
      <rowOff>0</rowOff>
    </from>
    <ext cx="900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20</row>
      <rowOff>0</rowOff>
    </from>
    <ext cx="900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fitToPage="1"/>
  </sheetPr>
  <dimension ref="A2:R59"/>
  <sheetViews>
    <sheetView showGridLines="0" zoomScale="85" workbookViewId="0">
      <selection activeCell="A1" sqref="A1"/>
    </sheetView>
  </sheetViews>
  <sheetFormatPr baseColWidth="8" defaultRowHeight="15"/>
  <cols>
    <col width="9"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s>
  <sheetData>
    <row r="2">
      <c r="A2" s="1" t="inlineStr">
        <is>
          <t>BEAUTYPRICE INTELLIGENCE - Biểu đồ phân tích dữ liệu thật</t>
        </is>
      </c>
    </row>
    <row r="4">
      <c r="A4" t="inlineStr">
        <is>
          <t>Phạm vi</t>
        </is>
      </c>
      <c r="B4" t="inlineStr">
        <is>
          <t>2026-10-18 đến 2026-10-21 | 6,350 snapshot | 5 retailer</t>
        </is>
      </c>
    </row>
    <row r="5" ht="18" customHeight="1">
      <c r="A5" s="2" t="inlineStr">
        <is>
          <t>Giới hạn</t>
        </is>
      </c>
      <c r="B5" s="3" t="inlineStr">
        <is>
          <t>Biểu đồ theo retailer mô tả mặt bằng catalog, chưa phải so sánh cùng sản phẩm đã xác minh. Đường thời gian mô tả đợt thu thập, chưa chứng minh biến động giá cùng sản phẩm.</t>
        </is>
      </c>
    </row>
    <row r="6" ht="18" customHeight="1"/>
    <row r="55">
      <c r="A55" s="4" t="inlineStr">
        <is>
          <t>Lưu ý diễn giải</t>
        </is>
      </c>
    </row>
    <row r="56">
      <c r="A56" s="5" t="inlineStr">
        <is>
          <t>Các biểu đồ theo retailer là thống kê mô tả catalog quan sát được. Cơ cấu sản phẩm khác nhau giữa retailer, nên không dùng để kết luận retailer nào rẻ nhất. Biểu đồ thời gian chỉ mô tả giai đoạn quan sát, không phải xu hướng dài hạn.</t>
        </is>
      </c>
    </row>
    <row r="57"/>
    <row r="58"/>
    <row r="59"/>
  </sheetData>
  <mergeCells count="4">
    <mergeCell ref="A2:R2"/>
    <mergeCell ref="B4:R4"/>
    <mergeCell ref="B5:R6"/>
    <mergeCell ref="A56:R59"/>
  </mergeCells>
  <printOptions horizontalCentered="1"/>
  <pageMargins left="0.75" right="0.75" top="1" bottom="1" header="0.5" footer="0.5"/>
  <pageSetup orientation="landscape" paperSize="8" fitToHeight="2"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K49"/>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s>
  <sheetData>
    <row r="1"/>
    <row r="2">
      <c r="A2" s="4" t="inlineStr">
        <is>
          <t>Phân bố giá</t>
        </is>
      </c>
      <c r="E2" s="4" t="inlineStr">
        <is>
          <t>Giá trung vị theo danh mục</t>
        </is>
      </c>
      <c r="I2" s="4" t="inlineStr">
        <is>
          <t>Giá trung vị theo retailer</t>
        </is>
      </c>
    </row>
    <row r="3" ht="32" customHeight="1">
      <c r="A3" s="6" t="inlineStr">
        <is>
          <t>Khoảng giá</t>
        </is>
      </c>
      <c r="B3" s="6" t="inlineStr">
        <is>
          <t>Số quan sát</t>
        </is>
      </c>
      <c r="E3" s="6" t="inlineStr">
        <is>
          <t>category_display</t>
        </is>
      </c>
      <c r="F3" s="6" t="inlineStr">
        <is>
          <t>median_price_vnd</t>
        </is>
      </c>
      <c r="G3" s="6" t="inlineStr">
        <is>
          <t>observations</t>
        </is>
      </c>
      <c r="I3" s="6" t="inlineStr">
        <is>
          <t>retailer_name</t>
        </is>
      </c>
      <c r="J3" s="6" t="inlineStr">
        <is>
          <t>median_price_vnd</t>
        </is>
      </c>
      <c r="K3" s="6" t="inlineStr">
        <is>
          <t>observations</t>
        </is>
      </c>
    </row>
    <row r="4">
      <c r="A4" t="inlineStr">
        <is>
          <t>&lt;=100k</t>
        </is>
      </c>
      <c r="B4" s="7" t="n">
        <v>847</v>
      </c>
      <c r="E4" t="inlineStr">
        <is>
          <t>Serum</t>
        </is>
      </c>
      <c r="F4" s="7" t="n">
        <v>397000</v>
      </c>
      <c r="G4" s="7" t="n">
        <v>1121</v>
      </c>
      <c r="I4" t="inlineStr">
        <is>
          <t>Cocolux</t>
        </is>
      </c>
      <c r="J4" s="7" t="n">
        <v>299000</v>
      </c>
      <c r="K4" s="7" t="n">
        <v>734</v>
      </c>
    </row>
    <row r="5">
      <c r="A5" t="inlineStr">
        <is>
          <t>100-200k</t>
        </is>
      </c>
      <c r="B5" s="7" t="n">
        <v>1798</v>
      </c>
      <c r="E5" t="inlineStr">
        <is>
          <t>Kem chống nắng</t>
        </is>
      </c>
      <c r="F5" s="7" t="n">
        <v>289000</v>
      </c>
      <c r="G5" s="7" t="n">
        <v>1049</v>
      </c>
      <c r="I5" t="inlineStr">
        <is>
          <t>Watsons</t>
        </is>
      </c>
      <c r="J5" s="7" t="n">
        <v>249000</v>
      </c>
      <c r="K5" s="7" t="n">
        <v>2251</v>
      </c>
    </row>
    <row r="6">
      <c r="A6" t="inlineStr">
        <is>
          <t>200-300k</t>
        </is>
      </c>
      <c r="B6" s="7" t="n">
        <v>1143</v>
      </c>
      <c r="E6" t="inlineStr">
        <is>
          <t>Chưa phân loại</t>
        </is>
      </c>
      <c r="F6" s="7" t="n">
        <v>287000</v>
      </c>
      <c r="G6" s="7" t="n">
        <v>1262</v>
      </c>
      <c r="I6" t="inlineStr">
        <is>
          <t>Guardian</t>
        </is>
      </c>
      <c r="J6" s="7" t="n">
        <v>247500</v>
      </c>
      <c r="K6" s="7" t="n">
        <v>994</v>
      </c>
    </row>
    <row r="7">
      <c r="A7" t="inlineStr">
        <is>
          <t>300-400k</t>
        </is>
      </c>
      <c r="B7" s="7" t="n">
        <v>943</v>
      </c>
      <c r="E7" t="inlineStr">
        <is>
          <t>Tẩy trang</t>
        </is>
      </c>
      <c r="F7" s="7" t="n">
        <v>195000</v>
      </c>
      <c r="G7" s="7" t="n">
        <v>640</v>
      </c>
      <c r="I7" t="inlineStr">
        <is>
          <t>The Gioi Skin Food</t>
        </is>
      </c>
      <c r="J7" s="7" t="n">
        <v>231500</v>
      </c>
      <c r="K7" s="7" t="n">
        <v>500</v>
      </c>
    </row>
    <row r="8">
      <c r="A8" t="inlineStr">
        <is>
          <t>400-500k</t>
        </is>
      </c>
      <c r="B8" s="7" t="n">
        <v>671</v>
      </c>
      <c r="E8" t="inlineStr">
        <is>
          <t>Sữa tắm</t>
        </is>
      </c>
      <c r="F8" s="7" t="n">
        <v>186000</v>
      </c>
      <c r="G8" s="7" t="n">
        <v>942</v>
      </c>
      <c r="I8" t="inlineStr">
        <is>
          <t>Hasaki</t>
        </is>
      </c>
      <c r="J8" s="7" t="n">
        <v>227000</v>
      </c>
      <c r="K8" s="7" t="n">
        <v>1871</v>
      </c>
    </row>
    <row r="9">
      <c r="A9" t="inlineStr">
        <is>
          <t>500-750k</t>
        </is>
      </c>
      <c r="B9" s="7" t="n">
        <v>583</v>
      </c>
      <c r="E9" t="inlineStr">
        <is>
          <t>Sữa rửa mặt</t>
        </is>
      </c>
      <c r="F9" s="7" t="n">
        <v>179000</v>
      </c>
      <c r="G9" s="7" t="n">
        <v>1043</v>
      </c>
    </row>
    <row r="10">
      <c r="A10" t="inlineStr">
        <is>
          <t>750k-1m</t>
        </is>
      </c>
      <c r="B10" s="7" t="n">
        <v>186</v>
      </c>
      <c r="E10" t="inlineStr">
        <is>
          <t>Tẩy tế bào chết</t>
        </is>
      </c>
      <c r="F10" s="7" t="n">
        <v>177000</v>
      </c>
      <c r="G10" s="7" t="n">
        <v>293</v>
      </c>
    </row>
    <row r="11">
      <c r="A11" t="inlineStr">
        <is>
          <t>&gt;1m</t>
        </is>
      </c>
      <c r="B11" s="7" t="n">
        <v>179</v>
      </c>
    </row>
    <row r="12"/>
    <row r="13"/>
    <row r="14"/>
    <row r="15">
      <c r="A15" s="4" t="inlineStr">
        <is>
          <t>Discount tính lại theo retailer</t>
        </is>
      </c>
      <c r="E15" s="4" t="inlineStr">
        <is>
          <t>Discount tính lại theo danh mục</t>
        </is>
      </c>
    </row>
    <row r="16" ht="32" customHeight="1">
      <c r="A16" s="6" t="inlineStr">
        <is>
          <t>retailer_name</t>
        </is>
      </c>
      <c r="B16" s="6" t="inlineStr">
        <is>
          <t>valid_pairs</t>
        </is>
      </c>
      <c r="C16" s="6" t="inlineStr">
        <is>
          <t>average_discount_percent</t>
        </is>
      </c>
      <c r="E16" s="6" t="inlineStr">
        <is>
          <t>category_display</t>
        </is>
      </c>
      <c r="F16" s="6" t="inlineStr">
        <is>
          <t>valid_pairs</t>
        </is>
      </c>
      <c r="G16" s="6" t="inlineStr">
        <is>
          <t>average_discount_percent</t>
        </is>
      </c>
    </row>
    <row r="17">
      <c r="A17" t="inlineStr">
        <is>
          <t>Hasaki</t>
        </is>
      </c>
      <c r="B17" s="7" t="n">
        <v>1820</v>
      </c>
      <c r="C17" s="8" t="n">
        <v>36.78443293363157</v>
      </c>
      <c r="E17" t="inlineStr">
        <is>
          <t>Tẩy trang</t>
        </is>
      </c>
      <c r="F17" s="7" t="n">
        <v>484</v>
      </c>
      <c r="G17" s="8" t="n">
        <v>32.77543873193306</v>
      </c>
    </row>
    <row r="18">
      <c r="A18" t="inlineStr">
        <is>
          <t>The Gioi Skin Food</t>
        </is>
      </c>
      <c r="B18" s="7" t="n">
        <v>461</v>
      </c>
      <c r="C18" s="8" t="n">
        <v>23.45738315460297</v>
      </c>
      <c r="E18" t="inlineStr">
        <is>
          <t>Tẩy tế bào chết</t>
        </is>
      </c>
      <c r="F18" s="7" t="n">
        <v>220</v>
      </c>
      <c r="G18" s="8" t="n">
        <v>29.11191097283298</v>
      </c>
    </row>
    <row r="19">
      <c r="A19" t="inlineStr">
        <is>
          <t>Watsons</t>
        </is>
      </c>
      <c r="B19" s="7" t="n">
        <v>1776</v>
      </c>
      <c r="C19" s="8" t="n">
        <v>23.10237806512808</v>
      </c>
      <c r="E19" t="inlineStr">
        <is>
          <t>Sữa tắm</t>
        </is>
      </c>
      <c r="F19" s="7" t="n">
        <v>625</v>
      </c>
      <c r="G19" s="8" t="n">
        <v>28.78888407840781</v>
      </c>
    </row>
    <row r="20">
      <c r="A20" t="inlineStr">
        <is>
          <t>Guardian</t>
        </is>
      </c>
      <c r="B20" s="7" t="n">
        <v>519</v>
      </c>
      <c r="C20" s="8" t="n">
        <v>22.3187123179454</v>
      </c>
      <c r="E20" t="inlineStr">
        <is>
          <t>Serum</t>
        </is>
      </c>
      <c r="F20" s="7" t="n">
        <v>914</v>
      </c>
      <c r="G20" s="8" t="n">
        <v>28.51429805088351</v>
      </c>
    </row>
    <row r="21">
      <c r="A21" t="inlineStr">
        <is>
          <t>Cocolux</t>
        </is>
      </c>
      <c r="B21" s="7" t="n">
        <v>285</v>
      </c>
      <c r="C21" s="8" t="n">
        <v>16.21788217910256</v>
      </c>
      <c r="E21" t="inlineStr">
        <is>
          <t>Kem chống nắng</t>
        </is>
      </c>
      <c r="F21" s="7" t="n">
        <v>840</v>
      </c>
      <c r="G21" s="8" t="n">
        <v>28.04080174463375</v>
      </c>
    </row>
    <row r="22">
      <c r="E22" t="inlineStr">
        <is>
          <t>Sữa rửa mặt</t>
        </is>
      </c>
      <c r="F22" s="7" t="n">
        <v>754</v>
      </c>
      <c r="G22" s="8" t="n">
        <v>26.82666264392813</v>
      </c>
    </row>
    <row r="23">
      <c r="E23" t="inlineStr">
        <is>
          <t>Chưa phân loại</t>
        </is>
      </c>
      <c r="F23" s="7" t="n">
        <v>1024</v>
      </c>
      <c r="G23" s="8" t="n">
        <v>24.30881084414195</v>
      </c>
    </row>
    <row r="24"/>
    <row r="25"/>
    <row r="26"/>
    <row r="27"/>
    <row r="28">
      <c r="A28" s="4" t="inlineStr">
        <is>
          <t>Giá trung bình trong giai đoạn quan sát</t>
        </is>
      </c>
    </row>
    <row r="29" ht="32" customHeight="1">
      <c r="A29" s="6" t="inlineStr">
        <is>
          <t>observation_date</t>
        </is>
      </c>
      <c r="B29" s="6" t="inlineStr">
        <is>
          <t>Cocolux</t>
        </is>
      </c>
      <c r="C29" s="6" t="inlineStr">
        <is>
          <t>Guardian</t>
        </is>
      </c>
      <c r="D29" s="6" t="inlineStr">
        <is>
          <t>Hasaki</t>
        </is>
      </c>
      <c r="E29" s="6" t="inlineStr">
        <is>
          <t>The Gioi Skin Food</t>
        </is>
      </c>
      <c r="F29" s="6" t="inlineStr">
        <is>
          <t>Watsons</t>
        </is>
      </c>
    </row>
    <row r="30">
      <c r="A30" t="inlineStr">
        <is>
          <t>2026-10-18</t>
        </is>
      </c>
      <c r="D30" s="9" t="n">
        <v>256038.7243735763</v>
      </c>
    </row>
    <row r="31">
      <c r="A31" t="inlineStr">
        <is>
          <t>2026-10-19</t>
        </is>
      </c>
      <c r="D31" s="9" t="n">
        <v>346806.0306030603</v>
      </c>
    </row>
    <row r="32">
      <c r="A32" t="inlineStr">
        <is>
          <t>2026-10-20</t>
        </is>
      </c>
      <c r="C32" s="9" t="n">
        <v>367402.1526418787</v>
      </c>
      <c r="D32" s="9" t="n">
        <v>177485.9813084112</v>
      </c>
    </row>
    <row r="33">
      <c r="A33" t="inlineStr">
        <is>
          <t>2026-10-21</t>
        </is>
      </c>
      <c r="B33" s="9" t="n">
        <v>384801.2261580381</v>
      </c>
      <c r="C33" s="9" t="n">
        <v>275654.2525879917</v>
      </c>
      <c r="E33" s="7" t="n">
        <v>279100</v>
      </c>
      <c r="F33" s="9" t="n">
        <v>317423.3673922701</v>
      </c>
    </row>
    <row r="34"/>
    <row r="35"/>
    <row r="36"/>
    <row r="37"/>
    <row r="38"/>
    <row r="39">
      <c r="A39" s="4" t="inlineStr">
        <is>
          <t>Chất lượng giá theo retailer</t>
        </is>
      </c>
    </row>
    <row r="40" ht="32" customHeight="1">
      <c r="A40" s="6" t="inlineStr">
        <is>
          <t>Nhà bán lẻ</t>
        </is>
      </c>
      <c r="B40" s="6" t="inlineStr">
        <is>
          <t>Tổng snapshot</t>
        </is>
      </c>
      <c r="C40" s="6" t="inlineStr">
        <is>
          <t>Giá hợp lệ</t>
        </is>
      </c>
      <c r="D40" s="6" t="inlineStr">
        <is>
          <t>Giá thiếu/sai</t>
        </is>
      </c>
    </row>
    <row r="41">
      <c r="A41" t="inlineStr">
        <is>
          <t>Cocolux</t>
        </is>
      </c>
      <c r="B41" s="7" t="n">
        <v>734</v>
      </c>
      <c r="C41" s="7" t="n">
        <v>734</v>
      </c>
      <c r="D41" s="7" t="n">
        <v>0</v>
      </c>
    </row>
    <row r="42">
      <c r="A42" t="inlineStr">
        <is>
          <t>Guardian</t>
        </is>
      </c>
      <c r="B42" s="7" t="n">
        <v>994</v>
      </c>
      <c r="C42" s="7" t="n">
        <v>994</v>
      </c>
      <c r="D42" s="7" t="n">
        <v>0</v>
      </c>
    </row>
    <row r="43">
      <c r="A43" t="inlineStr">
        <is>
          <t>Hasaki</t>
        </is>
      </c>
      <c r="B43" s="7" t="n">
        <v>1871</v>
      </c>
      <c r="C43" s="7" t="n">
        <v>1871</v>
      </c>
      <c r="D43" s="7" t="n">
        <v>0</v>
      </c>
    </row>
    <row r="44">
      <c r="A44" t="inlineStr">
        <is>
          <t>The Gioi Skin Food</t>
        </is>
      </c>
      <c r="B44" s="7" t="n">
        <v>500</v>
      </c>
      <c r="C44" s="7" t="n">
        <v>500</v>
      </c>
      <c r="D44" s="7" t="n">
        <v>0</v>
      </c>
    </row>
    <row r="45">
      <c r="A45" t="inlineStr">
        <is>
          <t>Watsons</t>
        </is>
      </c>
      <c r="B45" s="7" t="n">
        <v>2251</v>
      </c>
      <c r="C45" s="7" t="n">
        <v>2251</v>
      </c>
      <c r="D45" s="7" t="n">
        <v>0</v>
      </c>
    </row>
    <row r="48">
      <c r="A48" t="inlineStr">
        <is>
          <t>Nguồn dữ liệu</t>
        </is>
      </c>
      <c r="B48" t="inlineStr">
        <is>
          <t>price_snapshots (1).csv</t>
        </is>
      </c>
    </row>
    <row r="49" ht="34" customHeight="1">
      <c r="A49" t="inlineStr">
        <is>
          <t>Thời gian UTC+7</t>
        </is>
      </c>
      <c r="B49" s="10" t="inlineStr">
        <is>
          <t>2026-10-18 đến 2026-10-21 (UTC+7)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
  <sheetViews>
    <sheetView showGridLines="0" workbookViewId="0">
      <selection activeCell="A1" sqref="A1"/>
    </sheetView>
  </sheetViews>
  <sheetFormatPr baseColWidth="8" defaultRowHeight="15"/>
  <cols>
    <col width="9"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s>
  <sheetData>
    <row r="1">
      <c r="A1" t="inlineStr">
        <is>
          <t>Hasaki &amp; Guardian reviews — phân tích độc lập với giá</t>
        </is>
      </c>
    </row>
    <row r="2">
      <c r="A2" t="inlineStr">
        <is>
          <t>Rating: 1–5. Sources: hasaki_reviews.csv + guardian_reviews.csv; all source rows.</t>
        </is>
      </c>
    </row>
  </sheetData>
  <mergeCells count="2">
    <mergeCell ref="A2:R2"/>
    <mergeCell ref="A1:R1"/>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H15"/>
  <sheetViews>
    <sheetView showGridLines="0" workbookViewId="0">
      <selection activeCell="A1" sqref="A1"/>
    </sheetView>
  </sheetViews>
  <sheetFormatPr baseColWidth="8" defaultRowHeight="15"/>
  <cols>
    <col width="32" customWidth="1" min="4" max="4"/>
  </cols>
  <sheetData>
    <row r="1">
      <c r="A1" t="inlineStr">
        <is>
          <t>rating</t>
        </is>
      </c>
      <c r="B1" t="inlineStr">
        <is>
          <t>review_n</t>
        </is>
      </c>
      <c r="D1" t="inlineStr">
        <is>
          <t>category</t>
        </is>
      </c>
      <c r="E1" t="inlineStr">
        <is>
          <t>review_n</t>
        </is>
      </c>
      <c r="G1" t="inlineStr">
        <is>
          <t>source</t>
        </is>
      </c>
      <c r="H1" t="inlineStr">
        <is>
          <t>review_n</t>
        </is>
      </c>
    </row>
    <row r="2">
      <c r="A2" t="n">
        <v>2.5</v>
      </c>
      <c r="B2" t="n">
        <v>1</v>
      </c>
      <c r="D2" t="inlineStr">
        <is>
          <t>Sữa rửa mặt</t>
        </is>
      </c>
      <c r="E2" t="n">
        <v>1724</v>
      </c>
      <c r="G2" t="inlineStr">
        <is>
          <t>hasaki</t>
        </is>
      </c>
      <c r="H2" t="n">
        <v>6263</v>
      </c>
    </row>
    <row r="3">
      <c r="A3" t="n">
        <v>3</v>
      </c>
      <c r="B3" t="n">
        <v>2</v>
      </c>
      <c r="D3" t="inlineStr">
        <is>
          <t>Kem chống nắng</t>
        </is>
      </c>
      <c r="E3" t="n">
        <v>1601</v>
      </c>
      <c r="G3" t="inlineStr">
        <is>
          <t>guardian</t>
        </is>
      </c>
      <c r="H3" t="n">
        <v>410</v>
      </c>
    </row>
    <row r="4">
      <c r="A4" t="n">
        <v>3.5</v>
      </c>
      <c r="B4" t="n">
        <v>2</v>
      </c>
      <c r="D4" t="inlineStr">
        <is>
          <t>Serum</t>
        </is>
      </c>
      <c r="E4" t="n">
        <v>1431</v>
      </c>
    </row>
    <row r="5">
      <c r="A5" t="n">
        <v>4</v>
      </c>
      <c r="B5" t="n">
        <v>649</v>
      </c>
      <c r="D5" t="inlineStr">
        <is>
          <t>Tẩy trang</t>
        </is>
      </c>
      <c r="E5" t="n">
        <v>1081</v>
      </c>
    </row>
    <row r="6">
      <c r="A6" t="n">
        <v>4.5</v>
      </c>
      <c r="B6" t="n">
        <v>20</v>
      </c>
      <c r="D6" t="inlineStr">
        <is>
          <t>Tẩy tế bào chết</t>
        </is>
      </c>
      <c r="E6" t="n">
        <v>441</v>
      </c>
    </row>
    <row r="7">
      <c r="A7" t="n">
        <v>5</v>
      </c>
      <c r="B7" t="n">
        <v>5999</v>
      </c>
      <c r="D7" t="inlineStr">
        <is>
          <t>Sữa tắm</t>
        </is>
      </c>
      <c r="E7" t="n">
        <v>252</v>
      </c>
    </row>
    <row r="8">
      <c r="D8" t="inlineStr">
        <is>
          <t>Sữa tắm | Tẩy tế bào chết</t>
        </is>
      </c>
      <c r="E8" t="n">
        <v>74</v>
      </c>
    </row>
    <row r="9">
      <c r="D9" t="inlineStr">
        <is>
          <t>Sữa rửa mặt | Sữa tắm</t>
        </is>
      </c>
      <c r="E9" t="n">
        <v>20</v>
      </c>
    </row>
    <row r="10">
      <c r="D10" t="inlineStr">
        <is>
          <t>Tẩy tế bào chết cơ thể</t>
        </is>
      </c>
      <c r="E10" t="n">
        <v>20</v>
      </c>
    </row>
    <row r="11">
      <c r="D11" t="inlineStr">
        <is>
          <t>Sữa rửa mặt | Tẩy trang</t>
        </is>
      </c>
      <c r="E11" t="n">
        <v>14</v>
      </c>
    </row>
    <row r="12">
      <c r="D12" t="inlineStr">
        <is>
          <t>Kem chống nắng | Sữa rửa mặt</t>
        </is>
      </c>
      <c r="E12" t="n">
        <v>6</v>
      </c>
    </row>
    <row r="13">
      <c r="D13" t="inlineStr">
        <is>
          <t>Serum | Tẩy trang</t>
        </is>
      </c>
      <c r="E13" t="n">
        <v>3</v>
      </c>
    </row>
    <row r="14">
      <c r="D14" t="inlineStr">
        <is>
          <t>Kem chống nắng | Tẩy trang</t>
        </is>
      </c>
      <c r="E14" t="n">
        <v>3</v>
      </c>
    </row>
    <row r="15">
      <c r="D15" t="inlineStr">
        <is>
          <t>Kem chống nắng | Serum</t>
        </is>
      </c>
      <c r="E15"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2026-10-28T01:23:13Z</dcterms:created>
  <dcterms:modified xmlns:dcterms="http://purl.org/dc/terms/" xmlns:xsi="http://www.w3.org/2001/XMLSchema-instance" xsi:type="dcterms:W3CDTF">2026-10-28T01:23:17Z</dcterms:modified>
</cp:coreProperties>
</file>